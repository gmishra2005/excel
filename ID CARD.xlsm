
<file path=[Content_Types].xml><?xml version="1.0" encoding="utf-8"?>
<Types xmlns="http://schemas.openxmlformats.org/package/2006/content-types"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85703863-BE2A-40B8-B96D-3879C4BFC5FD}" xr6:coauthVersionLast="47" xr6:coauthVersionMax="47" xr10:uidLastSave="{00000000-0000-0000-0000-000000000000}"/>
  <bookViews>
    <workbookView xWindow="2580" yWindow="0" windowWidth="11712" windowHeight="12240" activeTab="1" xr2:uid="{AFDBC00E-0F69-408F-9CBD-D8E54425B5FF}"/>
  </bookViews>
  <sheets>
    <sheet name="Stu_data" sheetId="1" r:id="rId1"/>
    <sheet name="Sheet1" sheetId="2" r:id="rId2"/>
  </sheets>
  <definedNames>
    <definedName name="AUTOMATION">Stu_data!$AB$3:$AB$8</definedName>
    <definedName name="BASIC">Stu_data!$T$3:$T$8</definedName>
    <definedName name="BIGDATA">Stu_data!$AA$3:$AA$8</definedName>
    <definedName name="Bihar">Stu_data!$Q$3:$Q$8</definedName>
    <definedName name="CLOUD">Stu_data!$AC$3:$AC$8</definedName>
    <definedName name="_xlnm.Database">Stu_data!$X$3:$X$8</definedName>
    <definedName name="HARDWARE">Stu_data!$U$3:$U$8</definedName>
    <definedName name="Jharkhand">Stu_data!$S$3:$S$8</definedName>
    <definedName name="NETWORKING">Stu_data!$V$3:$V$8</definedName>
    <definedName name="PIC">INDEX(Stu_data!$M$2:$M$21,MATCH(Sheet1!$J$5,Stu_data!$A$2:$A$21,0))</definedName>
    <definedName name="PROGRAMMING">Stu_data!$Y$3:$Y$8</definedName>
    <definedName name="SECURITY">Stu_data!$Z$3:$Z$8</definedName>
    <definedName name="SERVER">Stu_data!$W$3:$W$8</definedName>
    <definedName name="Uttar_Pradesh">Stu_data!$R$3:$R$8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2" l="1"/>
  <c r="D5" i="1"/>
  <c r="E16" i="2"/>
  <c r="E14" i="2"/>
  <c r="E15" i="2"/>
  <c r="E13" i="2"/>
  <c r="E12" i="2"/>
  <c r="E11" i="2"/>
  <c r="E10" i="2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" i="1"/>
  <c r="D3" i="1"/>
  <c r="D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</calcChain>
</file>

<file path=xl/sharedStrings.xml><?xml version="1.0" encoding="utf-8"?>
<sst xmlns="http://schemas.openxmlformats.org/spreadsheetml/2006/main" count="281" uniqueCount="139">
  <si>
    <t>sid</t>
  </si>
  <si>
    <t>name</t>
  </si>
  <si>
    <t>city</t>
  </si>
  <si>
    <t>state</t>
  </si>
  <si>
    <t>phone</t>
  </si>
  <si>
    <t>email</t>
  </si>
  <si>
    <t>toc</t>
  </si>
  <si>
    <t>course</t>
  </si>
  <si>
    <t>duration</t>
  </si>
  <si>
    <t>fee</t>
  </si>
  <si>
    <t>doa</t>
  </si>
  <si>
    <t>dob</t>
  </si>
  <si>
    <t>photo</t>
  </si>
  <si>
    <t>H101</t>
  </si>
  <si>
    <t>H102</t>
  </si>
  <si>
    <t>Bihar</t>
  </si>
  <si>
    <t>Jharkhand</t>
  </si>
  <si>
    <t>Uttar_Pradesh</t>
  </si>
  <si>
    <t>Patna</t>
  </si>
  <si>
    <t>Gaya</t>
  </si>
  <si>
    <t>Arrah</t>
  </si>
  <si>
    <t>Jahanabad</t>
  </si>
  <si>
    <t>Samastipur</t>
  </si>
  <si>
    <t>Hajipur</t>
  </si>
  <si>
    <t>Lucknow</t>
  </si>
  <si>
    <t>Kanpur</t>
  </si>
  <si>
    <t>Kashi</t>
  </si>
  <si>
    <t>Varanasi</t>
  </si>
  <si>
    <t>Agra</t>
  </si>
  <si>
    <t>Jhansi</t>
  </si>
  <si>
    <t>Ranchi</t>
  </si>
  <si>
    <t>Bhokaro</t>
  </si>
  <si>
    <t>Jamshedpur</t>
  </si>
  <si>
    <t>Dhanbad</t>
  </si>
  <si>
    <t>Deoghar</t>
  </si>
  <si>
    <t>Hazaribagh</t>
  </si>
  <si>
    <t>BASIC</t>
  </si>
  <si>
    <t>HARDWARE</t>
  </si>
  <si>
    <t>NETWORKING</t>
  </si>
  <si>
    <t>SERVER</t>
  </si>
  <si>
    <t>DATABASE</t>
  </si>
  <si>
    <t>PROGRAMMING</t>
  </si>
  <si>
    <t>SECURITY</t>
  </si>
  <si>
    <t>BIGDATA</t>
  </si>
  <si>
    <t>AUTOMATION</t>
  </si>
  <si>
    <t>CLOUD</t>
  </si>
  <si>
    <t>DCA</t>
  </si>
  <si>
    <t>ADCA</t>
  </si>
  <si>
    <t>DTP</t>
  </si>
  <si>
    <t>TALLY</t>
  </si>
  <si>
    <t>CARDLEVEL</t>
  </si>
  <si>
    <t>CHIPLEVEL</t>
  </si>
  <si>
    <t>A++</t>
  </si>
  <si>
    <t>CCNA</t>
  </si>
  <si>
    <t>CCNP</t>
  </si>
  <si>
    <t>CCIE</t>
  </si>
  <si>
    <t>N+</t>
  </si>
  <si>
    <t>WINDOWS</t>
  </si>
  <si>
    <t>LINUX</t>
  </si>
  <si>
    <t>VMWARE</t>
  </si>
  <si>
    <t>UNIX</t>
  </si>
  <si>
    <t>MYSQL</t>
  </si>
  <si>
    <t>MONGODB</t>
  </si>
  <si>
    <t>MS-ACCESS</t>
  </si>
  <si>
    <t>ORACLE</t>
  </si>
  <si>
    <t>C</t>
  </si>
  <si>
    <t>C++</t>
  </si>
  <si>
    <t>PYTHON</t>
  </si>
  <si>
    <t>JAVA</t>
  </si>
  <si>
    <t>JS</t>
  </si>
  <si>
    <t>PHP</t>
  </si>
  <si>
    <t>OSCP</t>
  </si>
  <si>
    <t>CEH</t>
  </si>
  <si>
    <t>FIREWALL</t>
  </si>
  <si>
    <t>DE</t>
  </si>
  <si>
    <t>DS</t>
  </si>
  <si>
    <t>DA</t>
  </si>
  <si>
    <t>ANSIBLE</t>
  </si>
  <si>
    <t>MA</t>
  </si>
  <si>
    <t>AWS</t>
  </si>
  <si>
    <t>COURSE</t>
  </si>
  <si>
    <t xml:space="preserve">DURATION </t>
  </si>
  <si>
    <t>FEE</t>
  </si>
  <si>
    <t>3 Months</t>
  </si>
  <si>
    <t>6 Months</t>
  </si>
  <si>
    <t>2 Months</t>
  </si>
  <si>
    <t>12 Months</t>
  </si>
  <si>
    <t>1 Month</t>
  </si>
  <si>
    <t>4 Months</t>
  </si>
  <si>
    <t>9 Months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</si>
  <si>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</si>
  <si>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</si>
  <si>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</si>
  <si>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</si>
  <si>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</si>
  <si>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</si>
  <si>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</si>
  <si>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</si>
  <si>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</si>
  <si>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</si>
  <si>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</si>
  <si>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</si>
  <si>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</si>
  <si>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</si>
  <si>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</si>
  <si>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</si>
  <si>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</si>
  <si>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</si>
  <si>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Naincy</t>
  </si>
  <si>
    <t>Kiara</t>
  </si>
  <si>
    <t>Maya</t>
  </si>
  <si>
    <t>Samya</t>
  </si>
  <si>
    <t>Shanvi</t>
  </si>
  <si>
    <t>Manvi</t>
  </si>
  <si>
    <t>Anshu</t>
  </si>
  <si>
    <t>Amaira</t>
  </si>
  <si>
    <t>Aman</t>
  </si>
  <si>
    <t>Vicky</t>
  </si>
  <si>
    <t>Harsh</t>
  </si>
  <si>
    <t>Himanshu</t>
  </si>
  <si>
    <t>Anish</t>
  </si>
  <si>
    <t>Gungun</t>
  </si>
  <si>
    <t>Maahi</t>
  </si>
  <si>
    <t>Aisha</t>
  </si>
  <si>
    <t>Nisha</t>
  </si>
  <si>
    <t>Nikhil</t>
  </si>
  <si>
    <t>Pratham</t>
  </si>
  <si>
    <t>Ira Sharma</t>
  </si>
  <si>
    <t xml:space="preserve">STUDENT ID CARD </t>
  </si>
  <si>
    <t>NAME</t>
  </si>
  <si>
    <t xml:space="preserve">COURSE </t>
  </si>
  <si>
    <t>DOB</t>
  </si>
  <si>
    <t>DOA</t>
  </si>
  <si>
    <t>PHONE</t>
  </si>
  <si>
    <t>CITY</t>
  </si>
  <si>
    <t xml:space="preserve">STATE </t>
  </si>
  <si>
    <t>SID</t>
  </si>
  <si>
    <t>EID</t>
  </si>
  <si>
    <t>J.J COMPLEX  BORING ROAD PATNA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</si>
</sst>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4"/>
      <color theme="1"/>
      <name val="Lucida Bright"/>
      <family val="1"/>
    </font>
    <font>
      <b/>
      <sz val="24"/>
      <color theme="5" tint="-0.499984740745262"/>
      <name val="Algerian"/>
      <family val="5"/>
    </font>
    <font>
      <sz val="16"/>
      <color rgb="FFFF0000"/>
      <name val="Algerian"/>
      <family val="5"/>
    </font>
    <font>
      <sz val="11"/>
      <color theme="1"/>
      <name val="Arial Rounded MT Bold"/>
      <family val="2"/>
    </font>
    <font>
      <sz val="11"/>
      <color rgb="FFFFFF00"/>
      <name val="Calibri"/>
      <family val="2"/>
      <scheme val="minor"/>
    </font>
    <font>
      <sz val="14"/>
      <color rgb="FFFFC000"/>
      <name val="Bauhaus 93"/>
      <family val="5"/>
    </font>
    <font>
      <sz val="12"/>
      <color theme="1"/>
      <name val="Arial Rounded MT Bold"/>
      <family val="2"/>
    </font>
    <font>
      <b/>
      <sz val="11"/>
      <color rgb="FFFF000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4" fillId="0" borderId="1" xfId="0" applyFont="1" applyBorder="1" applyAlignment="1">
      <alignment horizontal="center" vertical="center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B42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26895</xdr:colOff>
      <xdr:row>1</xdr:row>
      <xdr:rowOff>26894</xdr:rowOff>
    </xdr:from>
    <xdr:to>
      <xdr:col>12</xdr:col>
      <xdr:colOff>1219200</xdr:colOff>
      <xdr:row>1</xdr:row>
      <xdr:rowOff>1228166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7D46D42-6E41-AAAF-86CA-A83C2030D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8095" y="600635"/>
          <a:ext cx="1192305" cy="1201272"/>
        </a:xfrm>
        <a:prstGeom prst="rect">
          <a:avLst/>
        </a:prstGeom>
      </xdr:spPr>
    </xdr:pic>
    <xdr:clientData/>
  </xdr:twoCellAnchor>
  <xdr:twoCellAnchor editAs="oneCell">
    <xdr:from>
      <xdr:col>12</xdr:col>
      <xdr:colOff>8966</xdr:colOff>
      <xdr:row>2</xdr:row>
      <xdr:rowOff>53790</xdr:rowOff>
    </xdr:from>
    <xdr:to>
      <xdr:col>12</xdr:col>
      <xdr:colOff>1201271</xdr:colOff>
      <xdr:row>2</xdr:row>
      <xdr:rowOff>1210236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6F70F10-BA86-AC99-A293-7A6E2BFB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0166" y="1873625"/>
          <a:ext cx="1192305" cy="1156446"/>
        </a:xfrm>
        <a:prstGeom prst="rect">
          <a:avLst/>
        </a:prstGeom>
      </xdr:spPr>
    </xdr:pic>
    <xdr:clientData/>
  </xdr:twoCellAnchor>
  <xdr:twoCellAnchor editAs="oneCell">
    <xdr:from>
      <xdr:col>12</xdr:col>
      <xdr:colOff>44824</xdr:colOff>
      <xdr:row>3</xdr:row>
      <xdr:rowOff>21086</xdr:rowOff>
    </xdr:from>
    <xdr:to>
      <xdr:col>12</xdr:col>
      <xdr:colOff>1201271</xdr:colOff>
      <xdr:row>3</xdr:row>
      <xdr:rowOff>1237606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709D491-87B8-8C89-1632-B49851073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64636" y="3087015"/>
          <a:ext cx="1156447" cy="1216520"/>
        </a:xfrm>
        <a:prstGeom prst="rect">
          <a:avLst/>
        </a:prstGeom>
      </xdr:spPr>
    </xdr:pic>
    <xdr:clientData/>
  </xdr:twoCellAnchor>
  <xdr:twoCellAnchor editAs="oneCell">
    <xdr:from>
      <xdr:col>12</xdr:col>
      <xdr:colOff>26895</xdr:colOff>
      <xdr:row>4</xdr:row>
      <xdr:rowOff>42157</xdr:rowOff>
    </xdr:from>
    <xdr:to>
      <xdr:col>12</xdr:col>
      <xdr:colOff>1210237</xdr:colOff>
      <xdr:row>4</xdr:row>
      <xdr:rowOff>1198604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D9B8D19-54EE-C261-9BCE-4EA8537AD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48095" y="4354181"/>
          <a:ext cx="1183342" cy="1156447"/>
        </a:xfrm>
        <a:prstGeom prst="rect">
          <a:avLst/>
        </a:prstGeom>
      </xdr:spPr>
    </xdr:pic>
    <xdr:clientData/>
  </xdr:twoCellAnchor>
  <xdr:twoCellAnchor editAs="oneCell">
    <xdr:from>
      <xdr:col>12</xdr:col>
      <xdr:colOff>26894</xdr:colOff>
      <xdr:row>7</xdr:row>
      <xdr:rowOff>16449</xdr:rowOff>
    </xdr:from>
    <xdr:to>
      <xdr:col>12</xdr:col>
      <xdr:colOff>1201271</xdr:colOff>
      <xdr:row>7</xdr:row>
      <xdr:rowOff>1228165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BB3C036-FAB7-BAEB-765C-1C0299002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48094" y="8066755"/>
          <a:ext cx="1174377" cy="1211716"/>
        </a:xfrm>
        <a:prstGeom prst="rect">
          <a:avLst/>
        </a:prstGeom>
      </xdr:spPr>
    </xdr:pic>
    <xdr:clientData/>
  </xdr:twoCellAnchor>
  <xdr:twoCellAnchor editAs="oneCell">
    <xdr:from>
      <xdr:col>12</xdr:col>
      <xdr:colOff>53788</xdr:colOff>
      <xdr:row>6</xdr:row>
      <xdr:rowOff>21085</xdr:rowOff>
    </xdr:from>
    <xdr:to>
      <xdr:col>12</xdr:col>
      <xdr:colOff>1201269</xdr:colOff>
      <xdr:row>6</xdr:row>
      <xdr:rowOff>1237605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E22B3BB-76FA-314A-DE18-9B8C0A82E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74988" y="6825297"/>
          <a:ext cx="1147481" cy="1216520"/>
        </a:xfrm>
        <a:prstGeom prst="rect">
          <a:avLst/>
        </a:prstGeom>
      </xdr:spPr>
    </xdr:pic>
    <xdr:clientData/>
  </xdr:twoCellAnchor>
  <xdr:twoCellAnchor editAs="oneCell">
    <xdr:from>
      <xdr:col>12</xdr:col>
      <xdr:colOff>35859</xdr:colOff>
      <xdr:row>5</xdr:row>
      <xdr:rowOff>12120</xdr:rowOff>
    </xdr:from>
    <xdr:to>
      <xdr:col>12</xdr:col>
      <xdr:colOff>1183340</xdr:colOff>
      <xdr:row>5</xdr:row>
      <xdr:rowOff>1228640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8DF6889-E467-36BD-1F7C-F7148767E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57059" y="5570238"/>
          <a:ext cx="1147481" cy="1216520"/>
        </a:xfrm>
        <a:prstGeom prst="rect">
          <a:avLst/>
        </a:prstGeom>
      </xdr:spPr>
    </xdr:pic>
    <xdr:clientData/>
  </xdr:twoCellAnchor>
  <xdr:twoCellAnchor editAs="oneCell">
    <xdr:from>
      <xdr:col>12</xdr:col>
      <xdr:colOff>35859</xdr:colOff>
      <xdr:row>8</xdr:row>
      <xdr:rowOff>16449</xdr:rowOff>
    </xdr:from>
    <xdr:to>
      <xdr:col>12</xdr:col>
      <xdr:colOff>1210234</xdr:colOff>
      <xdr:row>8</xdr:row>
      <xdr:rowOff>1228165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4DBF1C1-0D08-4C63-C20B-110F09707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57059" y="9312849"/>
          <a:ext cx="1174375" cy="1211716"/>
        </a:xfrm>
        <a:prstGeom prst="rect">
          <a:avLst/>
        </a:prstGeom>
      </xdr:spPr>
    </xdr:pic>
    <xdr:clientData/>
  </xdr:twoCellAnchor>
  <xdr:twoCellAnchor editAs="oneCell">
    <xdr:from>
      <xdr:col>12</xdr:col>
      <xdr:colOff>35859</xdr:colOff>
      <xdr:row>9</xdr:row>
      <xdr:rowOff>25414</xdr:rowOff>
    </xdr:from>
    <xdr:to>
      <xdr:col>12</xdr:col>
      <xdr:colOff>1192306</xdr:colOff>
      <xdr:row>9</xdr:row>
      <xdr:rowOff>1237130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BA1E767-1A54-75CB-549F-0DFF69546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55671" y="10567908"/>
          <a:ext cx="1156447" cy="1211716"/>
        </a:xfrm>
        <a:prstGeom prst="rect">
          <a:avLst/>
        </a:prstGeom>
      </xdr:spPr>
    </xdr:pic>
    <xdr:clientData/>
  </xdr:twoCellAnchor>
  <xdr:twoCellAnchor editAs="oneCell">
    <xdr:from>
      <xdr:col>12</xdr:col>
      <xdr:colOff>26894</xdr:colOff>
      <xdr:row>10</xdr:row>
      <xdr:rowOff>16449</xdr:rowOff>
    </xdr:from>
    <xdr:to>
      <xdr:col>12</xdr:col>
      <xdr:colOff>1201271</xdr:colOff>
      <xdr:row>10</xdr:row>
      <xdr:rowOff>1228165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362C5BD-CF7A-A076-6A1E-77625467C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48094" y="11805037"/>
          <a:ext cx="1174377" cy="1211716"/>
        </a:xfrm>
        <a:prstGeom prst="rect">
          <a:avLst/>
        </a:prstGeom>
      </xdr:spPr>
    </xdr:pic>
    <xdr:clientData/>
  </xdr:twoCellAnchor>
  <xdr:twoCellAnchor editAs="oneCell">
    <xdr:from>
      <xdr:col>12</xdr:col>
      <xdr:colOff>6460</xdr:colOff>
      <xdr:row>11</xdr:row>
      <xdr:rowOff>25414</xdr:rowOff>
    </xdr:from>
    <xdr:to>
      <xdr:col>13</xdr:col>
      <xdr:colOff>0</xdr:colOff>
      <xdr:row>11</xdr:row>
      <xdr:rowOff>1237130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A873F0E-51B5-A3FA-801B-DC790AC72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27660" y="13060096"/>
          <a:ext cx="1221704" cy="1211716"/>
        </a:xfrm>
        <a:prstGeom prst="rect">
          <a:avLst/>
        </a:prstGeom>
      </xdr:spPr>
    </xdr:pic>
    <xdr:clientData/>
  </xdr:twoCellAnchor>
  <xdr:twoCellAnchor editAs="oneCell">
    <xdr:from>
      <xdr:col>12</xdr:col>
      <xdr:colOff>8965</xdr:colOff>
      <xdr:row>12</xdr:row>
      <xdr:rowOff>43342</xdr:rowOff>
    </xdr:from>
    <xdr:to>
      <xdr:col>12</xdr:col>
      <xdr:colOff>1201271</xdr:colOff>
      <xdr:row>13</xdr:row>
      <xdr:rowOff>-1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7D14276-561E-4898-6CE5-5F0578101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0165" y="14324118"/>
          <a:ext cx="1192306" cy="1202752"/>
        </a:xfrm>
        <a:prstGeom prst="rect">
          <a:avLst/>
        </a:prstGeom>
      </xdr:spPr>
    </xdr:pic>
    <xdr:clientData/>
  </xdr:twoCellAnchor>
  <xdr:twoCellAnchor editAs="oneCell">
    <xdr:from>
      <xdr:col>12</xdr:col>
      <xdr:colOff>8966</xdr:colOff>
      <xdr:row>13</xdr:row>
      <xdr:rowOff>43340</xdr:rowOff>
    </xdr:from>
    <xdr:to>
      <xdr:col>12</xdr:col>
      <xdr:colOff>1219200</xdr:colOff>
      <xdr:row>13</xdr:row>
      <xdr:rowOff>1238472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EEDACD0-D6C9-6081-1291-4F05FABE5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0166" y="15570211"/>
          <a:ext cx="1210234" cy="1195132"/>
        </a:xfrm>
        <a:prstGeom prst="rect">
          <a:avLst/>
        </a:prstGeom>
      </xdr:spPr>
    </xdr:pic>
    <xdr:clientData/>
  </xdr:twoCellAnchor>
  <xdr:twoCellAnchor editAs="oneCell">
    <xdr:from>
      <xdr:col>12</xdr:col>
      <xdr:colOff>26893</xdr:colOff>
      <xdr:row>14</xdr:row>
      <xdr:rowOff>88823</xdr:rowOff>
    </xdr:from>
    <xdr:to>
      <xdr:col>13</xdr:col>
      <xdr:colOff>0</xdr:colOff>
      <xdr:row>14</xdr:row>
      <xdr:rowOff>1157272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8422816-19A5-A9F0-DF42-2E57DB666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48093" y="16861788"/>
          <a:ext cx="1201271" cy="1068449"/>
        </a:xfrm>
        <a:prstGeom prst="rect">
          <a:avLst/>
        </a:prstGeom>
      </xdr:spPr>
    </xdr:pic>
    <xdr:clientData/>
  </xdr:twoCellAnchor>
  <xdr:twoCellAnchor editAs="oneCell">
    <xdr:from>
      <xdr:col>12</xdr:col>
      <xdr:colOff>17931</xdr:colOff>
      <xdr:row>15</xdr:row>
      <xdr:rowOff>8965</xdr:rowOff>
    </xdr:from>
    <xdr:to>
      <xdr:col>12</xdr:col>
      <xdr:colOff>1210235</xdr:colOff>
      <xdr:row>16</xdr:row>
      <xdr:rowOff>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4A4B5BA-CAB5-E716-2A79-5F220AAC7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9131" y="18028024"/>
          <a:ext cx="1192304" cy="1237129"/>
        </a:xfrm>
        <a:prstGeom prst="rect">
          <a:avLst/>
        </a:prstGeom>
      </xdr:spPr>
    </xdr:pic>
    <xdr:clientData/>
  </xdr:twoCellAnchor>
  <xdr:twoCellAnchor editAs="oneCell">
    <xdr:from>
      <xdr:col>12</xdr:col>
      <xdr:colOff>35859</xdr:colOff>
      <xdr:row>16</xdr:row>
      <xdr:rowOff>8964</xdr:rowOff>
    </xdr:from>
    <xdr:to>
      <xdr:col>12</xdr:col>
      <xdr:colOff>1192306</xdr:colOff>
      <xdr:row>16</xdr:row>
      <xdr:rowOff>1238473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E6FF194-E927-7244-16B0-D7DFCD9F1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57059" y="19274117"/>
          <a:ext cx="1156447" cy="1237129"/>
        </a:xfrm>
        <a:prstGeom prst="rect">
          <a:avLst/>
        </a:prstGeom>
      </xdr:spPr>
    </xdr:pic>
    <xdr:clientData/>
  </xdr:twoCellAnchor>
  <xdr:twoCellAnchor editAs="oneCell">
    <xdr:from>
      <xdr:col>12</xdr:col>
      <xdr:colOff>44824</xdr:colOff>
      <xdr:row>17</xdr:row>
      <xdr:rowOff>8963</xdr:rowOff>
    </xdr:from>
    <xdr:to>
      <xdr:col>12</xdr:col>
      <xdr:colOff>1219200</xdr:colOff>
      <xdr:row>17</xdr:row>
      <xdr:rowOff>1238472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320E108-EABE-E19D-EC5D-60A24CE73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66024" y="20520210"/>
          <a:ext cx="1174376" cy="1229509"/>
        </a:xfrm>
        <a:prstGeom prst="rect">
          <a:avLst/>
        </a:prstGeom>
      </xdr:spPr>
    </xdr:pic>
    <xdr:clientData/>
  </xdr:twoCellAnchor>
  <xdr:twoCellAnchor editAs="oneCell">
    <xdr:from>
      <xdr:col>12</xdr:col>
      <xdr:colOff>14213</xdr:colOff>
      <xdr:row>18</xdr:row>
      <xdr:rowOff>19273</xdr:rowOff>
    </xdr:from>
    <xdr:to>
      <xdr:col>12</xdr:col>
      <xdr:colOff>1192305</xdr:colOff>
      <xdr:row>19</xdr:row>
      <xdr:rowOff>10308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E86C579-7E70-5AAE-744B-B60C930CF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5413" y="21776614"/>
          <a:ext cx="1178092" cy="1237129"/>
        </a:xfrm>
        <a:prstGeom prst="rect">
          <a:avLst/>
        </a:prstGeom>
      </xdr:spPr>
    </xdr:pic>
    <xdr:clientData/>
  </xdr:twoCellAnchor>
  <xdr:twoCellAnchor editAs="oneCell">
    <xdr:from>
      <xdr:col>12</xdr:col>
      <xdr:colOff>17929</xdr:colOff>
      <xdr:row>19</xdr:row>
      <xdr:rowOff>35859</xdr:rowOff>
    </xdr:from>
    <xdr:to>
      <xdr:col>12</xdr:col>
      <xdr:colOff>1201270</xdr:colOff>
      <xdr:row>19</xdr:row>
      <xdr:rowOff>1237130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1D63061-1EE8-BAC6-FF75-7280C7BF6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9129" y="23039294"/>
          <a:ext cx="1183341" cy="1201271"/>
        </a:xfrm>
        <a:prstGeom prst="rect">
          <a:avLst/>
        </a:prstGeom>
      </xdr:spPr>
    </xdr:pic>
    <xdr:clientData/>
  </xdr:twoCellAnchor>
  <xdr:oneCellAnchor>
    <xdr:from>
      <xdr:col>12</xdr:col>
      <xdr:colOff>17931</xdr:colOff>
      <xdr:row>20</xdr:row>
      <xdr:rowOff>28237</xdr:rowOff>
    </xdr:from>
    <xdr:ext cx="1183340" cy="1190963"/>
    <xdr:pic>
      <xdr:nvPicPr>
        <xdr:cNvPr id="22" name="Picture 21">
          <a:extLst>
            <a:ext uri="{FF2B5EF4-FFF2-40B4-BE49-F238E27FC236}">
              <a16:creationId xmlns:a16="http://schemas.microsoft.com/office/drawing/2014/main" id="{7EB3FF8E-DF12-47F6-9961-2F4B770C7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9131" y="24277766"/>
          <a:ext cx="1183340" cy="119096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</xdr:row>
          <xdr:rowOff>30480</xdr:rowOff>
        </xdr:from>
        <xdr:to>
          <xdr:col>5</xdr:col>
          <xdr:colOff>15518</xdr:colOff>
          <xdr:row>8</xdr:row>
          <xdr:rowOff>160020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5670D95F-7A82-B76D-EFD4-8E3559B6497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" spid="_x0000_s20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143000" y="670560"/>
              <a:ext cx="1211858" cy="122682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2ADD3-C8C4-4B5B-B016-093C73816FF1}">
  <dimension ref="A1:AG36"/>
  <sheetViews>
    <sheetView topLeftCell="I4" zoomScale="85" zoomScaleNormal="85" workbookViewId="0">
      <selection activeCell="AH4" sqref="AH4"/>
    </sheetView>
  </sheetViews>
  <sheetFormatPr defaultColWidth="14.5546875" defaultRowHeight="14.4" x14ac:dyDescent="0.3"/>
  <cols>
    <col min="1" max="1" width="11.44140625" customWidth="1"/>
    <col min="3" max="3" width="18.21875" customWidth="1"/>
    <col min="4" max="4" width="38.5546875" customWidth="1"/>
    <col min="5" max="5" width="17.33203125" customWidth="1"/>
    <col min="6" max="6" width="19.5546875" bestFit="1" customWidth="1"/>
    <col min="7" max="7" width="22.44140625" customWidth="1"/>
    <col min="8" max="8" width="23.33203125" customWidth="1"/>
    <col min="9" max="9" width="25.44140625" customWidth="1"/>
    <col min="10" max="10" width="23.88671875" customWidth="1"/>
    <col min="11" max="11" width="20.6640625" customWidth="1"/>
    <col min="12" max="12" width="16.88671875" customWidth="1"/>
    <col min="13" max="13" width="17.88671875" customWidth="1"/>
    <col min="16" max="16" width="14.5546875" customWidth="1"/>
    <col min="17" max="17" width="0.33203125" customWidth="1"/>
    <col min="18" max="19" width="14.5546875" hidden="1" customWidth="1"/>
    <col min="20" max="20" width="0.5546875" customWidth="1"/>
    <col min="21" max="29" width="14.5546875" hidden="1" customWidth="1"/>
    <col min="30" max="30" width="0.33203125" customWidth="1"/>
    <col min="31" max="31" width="17.21875" customWidth="1"/>
    <col min="32" max="32" width="27.5546875" customWidth="1"/>
    <col min="33" max="33" width="21.6640625" customWidth="1"/>
  </cols>
  <sheetData>
    <row r="1" spans="1:33" ht="45" customHeight="1" x14ac:dyDescent="0.3">
      <c r="A1" s="2" t="s">
        <v>0</v>
      </c>
      <c r="B1" s="2" t="s">
        <v>1</v>
      </c>
      <c r="C1" s="2" t="s">
        <v>4</v>
      </c>
      <c r="D1" s="2" t="s">
        <v>5</v>
      </c>
      <c r="E1" s="2" t="s">
        <v>11</v>
      </c>
      <c r="F1" s="2" t="s">
        <v>3</v>
      </c>
      <c r="G1" s="2" t="s">
        <v>2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12</v>
      </c>
    </row>
    <row r="2" spans="1:33" ht="97.8" customHeight="1" x14ac:dyDescent="0.3">
      <c r="A2" s="1" t="s">
        <v>13</v>
      </c>
      <c r="B2" s="1" t="s">
        <v>108</v>
      </c>
      <c r="C2" s="1">
        <v>7675656477</v>
      </c>
      <c r="D2" s="1" t="str">
        <f>IF(B2&lt;&gt;"",TRIM(LOWER($B2&amp;"@hubnettech.net")),"")</f>
        <v>naincy@hubnettech.net</v>
      </c>
      <c r="E2" s="3">
        <v>36047</v>
      </c>
      <c r="F2" s="1" t="s">
        <v>16</v>
      </c>
      <c r="G2" s="1" t="s">
        <v>33</v>
      </c>
      <c r="H2" s="1" t="s">
        <v>39</v>
      </c>
      <c r="I2" s="1" t="s">
        <v>59</v>
      </c>
      <c r="J2" s="1" t="str">
        <f>IF($I2&lt;&gt;"",VLOOKUP($I2,$AE$2:$AG$36,2,FALSE),"")</f>
        <v>3 Months</v>
      </c>
      <c r="K2" s="1">
        <f>IF($I2&lt;&gt;"",VLOOKUP($I2,$AE$2:$AG$36,3,FALSE),"")</f>
        <v>20000</v>
      </c>
      <c r="L2" s="3">
        <v>44959</v>
      </c>
      <c r="M2" s="1"/>
      <c r="O2" t="s">
        <v>137</v>
      </c>
      <c r="Q2" t="s">
        <v>15</v>
      </c>
      <c r="R2" t="s">
        <v>17</v>
      </c>
      <c r="S2" t="s">
        <v>16</v>
      </c>
      <c r="T2" t="s">
        <v>36</v>
      </c>
      <c r="U2" t="s">
        <v>37</v>
      </c>
      <c r="V2" t="s">
        <v>38</v>
      </c>
      <c r="W2" t="s">
        <v>39</v>
      </c>
      <c r="X2" t="s">
        <v>40</v>
      </c>
      <c r="Y2" t="s">
        <v>41</v>
      </c>
      <c r="Z2" t="s">
        <v>42</v>
      </c>
      <c r="AA2" t="s">
        <v>43</v>
      </c>
      <c r="AB2" t="s">
        <v>44</v>
      </c>
      <c r="AC2" t="s">
        <v>45</v>
      </c>
      <c r="AE2" t="s">
        <v>80</v>
      </c>
      <c r="AF2" t="s">
        <v>81</v>
      </c>
      <c r="AG2" t="s">
        <v>82</v>
      </c>
    </row>
    <row r="3" spans="1:33" ht="97.8" customHeight="1" x14ac:dyDescent="0.3">
      <c r="A3" s="1" t="s">
        <v>14</v>
      </c>
      <c r="B3" s="1" t="s">
        <v>109</v>
      </c>
      <c r="C3" s="1">
        <v>7656545346</v>
      </c>
      <c r="D3" s="1" t="str">
        <f t="shared" ref="D3:D21" si="0">IF(B3&lt;&gt;"",TRIM(LOWER($B3&amp;"@hubnettech.net")),"")</f>
        <v>kiara@hubnettech.net</v>
      </c>
      <c r="E3" s="3">
        <v>36350</v>
      </c>
      <c r="F3" s="1" t="s">
        <v>17</v>
      </c>
      <c r="G3" s="1" t="s">
        <v>27</v>
      </c>
      <c r="H3" s="1" t="s">
        <v>42</v>
      </c>
      <c r="I3" s="1" t="s">
        <v>73</v>
      </c>
      <c r="J3" s="1" t="str">
        <f t="shared" ref="J3:J21" si="1">IF($I3&lt;&gt;"",VLOOKUP($I3,$AE$2:$AG$36,2,FALSE),"")</f>
        <v>6 Months</v>
      </c>
      <c r="K3" s="1">
        <f t="shared" ref="K3:K21" si="2">IF($I3&lt;&gt;"",VLOOKUP($I3,$AE$2:$AG$36,3,FALSE),"")</f>
        <v>15000</v>
      </c>
      <c r="L3" s="3">
        <v>45544</v>
      </c>
      <c r="M3" s="1"/>
      <c r="Q3" t="s">
        <v>18</v>
      </c>
      <c r="R3" t="s">
        <v>24</v>
      </c>
      <c r="S3" t="s">
        <v>30</v>
      </c>
      <c r="T3" t="s">
        <v>46</v>
      </c>
      <c r="U3" t="s">
        <v>50</v>
      </c>
      <c r="V3" t="s">
        <v>53</v>
      </c>
      <c r="W3" t="s">
        <v>57</v>
      </c>
      <c r="X3" t="s">
        <v>61</v>
      </c>
      <c r="Y3" t="s">
        <v>65</v>
      </c>
      <c r="Z3" t="s">
        <v>72</v>
      </c>
      <c r="AA3" t="s">
        <v>74</v>
      </c>
      <c r="AB3" t="s">
        <v>77</v>
      </c>
      <c r="AC3" t="s">
        <v>78</v>
      </c>
      <c r="AE3" t="s">
        <v>46</v>
      </c>
      <c r="AF3" t="s">
        <v>83</v>
      </c>
      <c r="AG3">
        <v>6000</v>
      </c>
    </row>
    <row r="4" spans="1:33" ht="97.8" customHeight="1" x14ac:dyDescent="0.3">
      <c r="A4" s="1" t="s">
        <v>90</v>
      </c>
      <c r="B4" s="1" t="s">
        <v>110</v>
      </c>
      <c r="C4" s="1">
        <v>7656545645</v>
      </c>
      <c r="D4" s="1" t="str">
        <f t="shared" si="0"/>
        <v>maya@hubnettech.net</v>
      </c>
      <c r="E4" s="3">
        <v>37539</v>
      </c>
      <c r="F4" s="1" t="s">
        <v>17</v>
      </c>
      <c r="G4" s="1" t="s">
        <v>28</v>
      </c>
      <c r="H4" s="1" t="s">
        <v>40</v>
      </c>
      <c r="I4" s="1" t="s">
        <v>62</v>
      </c>
      <c r="J4" s="1" t="str">
        <f t="shared" si="1"/>
        <v>1 Month</v>
      </c>
      <c r="K4" s="1">
        <f t="shared" si="2"/>
        <v>15000</v>
      </c>
      <c r="L4" s="3">
        <v>45270</v>
      </c>
      <c r="M4" s="1"/>
      <c r="Q4" t="s">
        <v>19</v>
      </c>
      <c r="R4" t="s">
        <v>25</v>
      </c>
      <c r="S4" t="s">
        <v>31</v>
      </c>
      <c r="T4" t="s">
        <v>48</v>
      </c>
      <c r="U4" t="s">
        <v>51</v>
      </c>
      <c r="V4" t="s">
        <v>54</v>
      </c>
      <c r="W4" t="s">
        <v>58</v>
      </c>
      <c r="X4" t="s">
        <v>62</v>
      </c>
      <c r="Y4" t="s">
        <v>66</v>
      </c>
      <c r="Z4" t="s">
        <v>71</v>
      </c>
      <c r="AA4" t="s">
        <v>75</v>
      </c>
      <c r="AC4" t="s">
        <v>79</v>
      </c>
      <c r="AE4" t="s">
        <v>48</v>
      </c>
      <c r="AF4" t="s">
        <v>84</v>
      </c>
      <c r="AG4">
        <v>6000</v>
      </c>
    </row>
    <row r="5" spans="1:33" ht="97.8" customHeight="1" x14ac:dyDescent="0.3">
      <c r="A5" s="1" t="s">
        <v>91</v>
      </c>
      <c r="B5" s="1" t="s">
        <v>111</v>
      </c>
      <c r="C5" s="1">
        <v>6654565434</v>
      </c>
      <c r="D5" s="1" t="str">
        <f t="shared" si="0"/>
        <v>samya@hubnettech.net</v>
      </c>
      <c r="E5" s="3">
        <v>37510</v>
      </c>
      <c r="F5" s="1" t="s">
        <v>16</v>
      </c>
      <c r="G5" s="1" t="s">
        <v>33</v>
      </c>
      <c r="H5" s="1" t="s">
        <v>39</v>
      </c>
      <c r="I5" s="1" t="s">
        <v>58</v>
      </c>
      <c r="J5" s="1" t="str">
        <f t="shared" si="1"/>
        <v>4 Months</v>
      </c>
      <c r="K5" s="1">
        <f t="shared" si="2"/>
        <v>18000</v>
      </c>
      <c r="L5" s="3">
        <v>45421</v>
      </c>
      <c r="M5" s="1"/>
      <c r="Q5" t="s">
        <v>20</v>
      </c>
      <c r="R5" t="s">
        <v>26</v>
      </c>
      <c r="S5" t="s">
        <v>32</v>
      </c>
      <c r="T5" t="s">
        <v>49</v>
      </c>
      <c r="U5" t="s">
        <v>52</v>
      </c>
      <c r="V5" t="s">
        <v>55</v>
      </c>
      <c r="W5" t="s">
        <v>59</v>
      </c>
      <c r="X5" t="s">
        <v>63</v>
      </c>
      <c r="Y5" t="s">
        <v>67</v>
      </c>
      <c r="Z5" t="s">
        <v>73</v>
      </c>
      <c r="AA5" t="s">
        <v>76</v>
      </c>
      <c r="AE5" t="s">
        <v>49</v>
      </c>
      <c r="AF5" t="s">
        <v>85</v>
      </c>
      <c r="AG5">
        <v>6000</v>
      </c>
    </row>
    <row r="6" spans="1:33" ht="97.8" customHeight="1" x14ac:dyDescent="0.3">
      <c r="A6" s="1" t="s">
        <v>92</v>
      </c>
      <c r="B6" s="1" t="s">
        <v>112</v>
      </c>
      <c r="C6" s="1">
        <v>8767564539</v>
      </c>
      <c r="D6" s="1" t="str">
        <f t="shared" si="0"/>
        <v>shanvi@hubnettech.net</v>
      </c>
      <c r="E6" s="3">
        <v>37579</v>
      </c>
      <c r="F6" s="1" t="s">
        <v>17</v>
      </c>
      <c r="G6" s="1" t="s">
        <v>28</v>
      </c>
      <c r="H6" s="1" t="s">
        <v>40</v>
      </c>
      <c r="I6" s="1" t="s">
        <v>63</v>
      </c>
      <c r="J6" s="1" t="str">
        <f t="shared" si="1"/>
        <v>1 Month</v>
      </c>
      <c r="K6" s="1">
        <f t="shared" si="2"/>
        <v>8000</v>
      </c>
      <c r="L6" s="3">
        <v>44969</v>
      </c>
      <c r="M6" s="1"/>
      <c r="Q6" t="s">
        <v>21</v>
      </c>
      <c r="R6" t="s">
        <v>27</v>
      </c>
      <c r="S6" t="s">
        <v>33</v>
      </c>
      <c r="T6" t="s">
        <v>47</v>
      </c>
      <c r="V6" t="s">
        <v>56</v>
      </c>
      <c r="W6" t="s">
        <v>60</v>
      </c>
      <c r="X6" t="s">
        <v>64</v>
      </c>
      <c r="Y6" t="s">
        <v>68</v>
      </c>
      <c r="AE6" t="s">
        <v>47</v>
      </c>
      <c r="AF6" t="s">
        <v>84</v>
      </c>
      <c r="AG6">
        <v>8000</v>
      </c>
    </row>
    <row r="7" spans="1:33" ht="97.8" customHeight="1" x14ac:dyDescent="0.3">
      <c r="A7" s="1" t="s">
        <v>93</v>
      </c>
      <c r="B7" s="1" t="s">
        <v>113</v>
      </c>
      <c r="C7" s="1">
        <v>7656545634</v>
      </c>
      <c r="D7" s="1" t="str">
        <f t="shared" si="0"/>
        <v>manvi@hubnettech.net</v>
      </c>
      <c r="E7" s="3">
        <v>38368</v>
      </c>
      <c r="F7" s="1" t="s">
        <v>15</v>
      </c>
      <c r="G7" s="1" t="s">
        <v>22</v>
      </c>
      <c r="H7" s="1" t="s">
        <v>40</v>
      </c>
      <c r="I7" s="1" t="s">
        <v>62</v>
      </c>
      <c r="J7" s="1" t="str">
        <f t="shared" si="1"/>
        <v>1 Month</v>
      </c>
      <c r="K7" s="1">
        <f t="shared" si="2"/>
        <v>15000</v>
      </c>
      <c r="L7" s="3">
        <v>45547</v>
      </c>
      <c r="M7" s="1"/>
      <c r="Q7" t="s">
        <v>22</v>
      </c>
      <c r="R7" t="s">
        <v>28</v>
      </c>
      <c r="S7" t="s">
        <v>34</v>
      </c>
      <c r="Y7" t="s">
        <v>69</v>
      </c>
      <c r="AE7" t="s">
        <v>50</v>
      </c>
      <c r="AF7" t="s">
        <v>84</v>
      </c>
      <c r="AG7">
        <v>10000</v>
      </c>
    </row>
    <row r="8" spans="1:33" ht="97.8" customHeight="1" x14ac:dyDescent="0.3">
      <c r="A8" s="1" t="s">
        <v>94</v>
      </c>
      <c r="B8" s="1" t="s">
        <v>114</v>
      </c>
      <c r="C8" s="1">
        <v>9098988753</v>
      </c>
      <c r="D8" s="1" t="str">
        <f t="shared" si="0"/>
        <v>anshu@hubnettech.net</v>
      </c>
      <c r="E8" s="3">
        <v>36789</v>
      </c>
      <c r="F8" s="1" t="s">
        <v>17</v>
      </c>
      <c r="G8" s="1" t="s">
        <v>25</v>
      </c>
      <c r="H8" s="1" t="s">
        <v>39</v>
      </c>
      <c r="I8" s="1" t="s">
        <v>59</v>
      </c>
      <c r="J8" s="1" t="str">
        <f t="shared" si="1"/>
        <v>3 Months</v>
      </c>
      <c r="K8" s="1">
        <f t="shared" si="2"/>
        <v>20000</v>
      </c>
      <c r="L8" s="3">
        <v>45333</v>
      </c>
      <c r="M8" s="1"/>
      <c r="Q8" t="s">
        <v>23</v>
      </c>
      <c r="R8" t="s">
        <v>29</v>
      </c>
      <c r="S8" t="s">
        <v>35</v>
      </c>
      <c r="Y8" t="s">
        <v>70</v>
      </c>
      <c r="AE8" t="s">
        <v>51</v>
      </c>
      <c r="AF8" t="s">
        <v>86</v>
      </c>
      <c r="AG8">
        <v>15000</v>
      </c>
    </row>
    <row r="9" spans="1:33" ht="97.8" customHeight="1" x14ac:dyDescent="0.3">
      <c r="A9" s="1" t="s">
        <v>95</v>
      </c>
      <c r="B9" s="1" t="s">
        <v>115</v>
      </c>
      <c r="C9" s="1">
        <v>7867556334</v>
      </c>
      <c r="D9" s="1" t="str">
        <f t="shared" si="0"/>
        <v>amaira@hubnettech.net</v>
      </c>
      <c r="E9" s="3">
        <v>36892</v>
      </c>
      <c r="F9" s="1" t="s">
        <v>17</v>
      </c>
      <c r="G9" s="1" t="s">
        <v>28</v>
      </c>
      <c r="H9" s="1" t="s">
        <v>42</v>
      </c>
      <c r="I9" s="1" t="s">
        <v>71</v>
      </c>
      <c r="J9" s="1" t="str">
        <f t="shared" si="1"/>
        <v>4 Months</v>
      </c>
      <c r="K9" s="1">
        <f t="shared" si="2"/>
        <v>20000</v>
      </c>
      <c r="L9" s="3">
        <v>45126</v>
      </c>
      <c r="M9" s="1"/>
      <c r="AE9" t="s">
        <v>52</v>
      </c>
      <c r="AF9" t="s">
        <v>84</v>
      </c>
      <c r="AG9">
        <v>15000</v>
      </c>
    </row>
    <row r="10" spans="1:33" ht="97.8" customHeight="1" x14ac:dyDescent="0.3">
      <c r="A10" s="1" t="s">
        <v>96</v>
      </c>
      <c r="B10" s="1" t="s">
        <v>116</v>
      </c>
      <c r="C10" s="1">
        <v>8878999909</v>
      </c>
      <c r="D10" s="1" t="str">
        <f t="shared" si="0"/>
        <v>aman@hubnettech.net</v>
      </c>
      <c r="E10" s="3">
        <v>36077</v>
      </c>
      <c r="F10" s="1" t="s">
        <v>16</v>
      </c>
      <c r="G10" s="1" t="s">
        <v>32</v>
      </c>
      <c r="H10" s="1" t="s">
        <v>42</v>
      </c>
      <c r="I10" s="1" t="s">
        <v>72</v>
      </c>
      <c r="J10" s="1" t="str">
        <f t="shared" si="1"/>
        <v>4 Months</v>
      </c>
      <c r="K10" s="1">
        <f t="shared" si="2"/>
        <v>12000</v>
      </c>
      <c r="L10" s="3">
        <v>45381</v>
      </c>
      <c r="M10" s="1"/>
      <c r="AE10" t="s">
        <v>53</v>
      </c>
      <c r="AF10" t="s">
        <v>84</v>
      </c>
      <c r="AG10">
        <v>12000</v>
      </c>
    </row>
    <row r="11" spans="1:33" ht="97.8" customHeight="1" x14ac:dyDescent="0.3">
      <c r="A11" s="1" t="s">
        <v>97</v>
      </c>
      <c r="B11" s="1" t="s">
        <v>117</v>
      </c>
      <c r="C11" s="1">
        <v>6653423322</v>
      </c>
      <c r="D11" s="1" t="str">
        <f t="shared" si="0"/>
        <v>vicky@hubnettech.net</v>
      </c>
      <c r="E11" s="3">
        <v>36872</v>
      </c>
      <c r="F11" s="1" t="s">
        <v>17</v>
      </c>
      <c r="G11" s="1" t="s">
        <v>28</v>
      </c>
      <c r="H11" s="1" t="s">
        <v>37</v>
      </c>
      <c r="I11" s="1" t="s">
        <v>50</v>
      </c>
      <c r="J11" s="1" t="str">
        <f t="shared" si="1"/>
        <v>6 Months</v>
      </c>
      <c r="K11" s="1">
        <f t="shared" si="2"/>
        <v>10000</v>
      </c>
      <c r="L11" s="3">
        <v>45331</v>
      </c>
      <c r="M11" s="1"/>
      <c r="AE11" t="s">
        <v>54</v>
      </c>
      <c r="AF11" t="s">
        <v>84</v>
      </c>
      <c r="AG11">
        <v>20000</v>
      </c>
    </row>
    <row r="12" spans="1:33" ht="97.8" customHeight="1" x14ac:dyDescent="0.3">
      <c r="A12" s="1" t="s">
        <v>98</v>
      </c>
      <c r="B12" s="1" t="s">
        <v>118</v>
      </c>
      <c r="C12" s="1">
        <v>7867656453</v>
      </c>
      <c r="D12" s="1" t="str">
        <f t="shared" si="0"/>
        <v>harsh@hubnettech.net</v>
      </c>
      <c r="E12" s="3">
        <v>35674</v>
      </c>
      <c r="F12" s="1" t="s">
        <v>15</v>
      </c>
      <c r="G12" s="1" t="s">
        <v>20</v>
      </c>
      <c r="H12" s="1" t="s">
        <v>36</v>
      </c>
      <c r="I12" s="1" t="s">
        <v>48</v>
      </c>
      <c r="J12" s="1" t="str">
        <f t="shared" si="1"/>
        <v>6 Months</v>
      </c>
      <c r="K12" s="1">
        <f t="shared" si="2"/>
        <v>6000</v>
      </c>
      <c r="L12" s="3">
        <v>44969</v>
      </c>
      <c r="M12" s="1"/>
      <c r="AE12" t="s">
        <v>55</v>
      </c>
      <c r="AF12" t="s">
        <v>86</v>
      </c>
      <c r="AG12">
        <v>30000</v>
      </c>
    </row>
    <row r="13" spans="1:33" ht="97.8" customHeight="1" x14ac:dyDescent="0.3">
      <c r="A13" s="1" t="s">
        <v>99</v>
      </c>
      <c r="B13" s="1" t="s">
        <v>119</v>
      </c>
      <c r="C13" s="1">
        <v>7656565456</v>
      </c>
      <c r="D13" s="1" t="str">
        <f t="shared" si="0"/>
        <v>himanshu@hubnettech.net</v>
      </c>
      <c r="E13" s="3">
        <v>35063</v>
      </c>
      <c r="F13" s="1" t="s">
        <v>16</v>
      </c>
      <c r="G13" s="1" t="s">
        <v>32</v>
      </c>
      <c r="H13" s="1" t="s">
        <v>40</v>
      </c>
      <c r="I13" s="1" t="s">
        <v>63</v>
      </c>
      <c r="J13" s="1" t="str">
        <f t="shared" si="1"/>
        <v>1 Month</v>
      </c>
      <c r="K13" s="1">
        <f t="shared" si="2"/>
        <v>8000</v>
      </c>
      <c r="L13" s="3">
        <v>45544</v>
      </c>
      <c r="M13" s="1"/>
      <c r="AE13" t="s">
        <v>56</v>
      </c>
      <c r="AF13" t="s">
        <v>84</v>
      </c>
      <c r="AG13">
        <v>35000</v>
      </c>
    </row>
    <row r="14" spans="1:33" ht="97.8" customHeight="1" x14ac:dyDescent="0.3">
      <c r="A14" s="1" t="s">
        <v>100</v>
      </c>
      <c r="B14" s="1" t="s">
        <v>120</v>
      </c>
      <c r="C14" s="1">
        <v>6545434257</v>
      </c>
      <c r="D14" s="1" t="str">
        <f t="shared" si="0"/>
        <v>anish@hubnettech.net</v>
      </c>
      <c r="E14" s="3">
        <v>34985</v>
      </c>
      <c r="F14" s="1" t="s">
        <v>15</v>
      </c>
      <c r="G14" s="1" t="s">
        <v>21</v>
      </c>
      <c r="H14" s="1" t="s">
        <v>43</v>
      </c>
      <c r="I14" s="1" t="s">
        <v>75</v>
      </c>
      <c r="J14" s="1" t="str">
        <f t="shared" si="1"/>
        <v>6 Months</v>
      </c>
      <c r="K14" s="1">
        <f t="shared" si="2"/>
        <v>25000</v>
      </c>
      <c r="L14" s="3">
        <v>45536</v>
      </c>
      <c r="M14" s="1"/>
      <c r="AE14" t="s">
        <v>57</v>
      </c>
      <c r="AF14" t="s">
        <v>84</v>
      </c>
      <c r="AG14">
        <v>20000</v>
      </c>
    </row>
    <row r="15" spans="1:33" ht="97.8" customHeight="1" x14ac:dyDescent="0.3">
      <c r="A15" s="1" t="s">
        <v>101</v>
      </c>
      <c r="B15" s="1" t="s">
        <v>121</v>
      </c>
      <c r="C15" s="1">
        <v>6757645634</v>
      </c>
      <c r="D15" s="1" t="str">
        <f t="shared" si="0"/>
        <v>gungun@hubnettech.net</v>
      </c>
      <c r="E15" s="3">
        <v>34589</v>
      </c>
      <c r="F15" s="1" t="s">
        <v>17</v>
      </c>
      <c r="G15" s="1" t="s">
        <v>26</v>
      </c>
      <c r="H15" s="1" t="s">
        <v>37</v>
      </c>
      <c r="I15" s="1" t="s">
        <v>52</v>
      </c>
      <c r="J15" s="1" t="str">
        <f t="shared" si="1"/>
        <v>6 Months</v>
      </c>
      <c r="K15" s="1">
        <f t="shared" si="2"/>
        <v>15000</v>
      </c>
      <c r="L15" s="3">
        <v>45547</v>
      </c>
      <c r="M15" s="1"/>
      <c r="AE15" t="s">
        <v>58</v>
      </c>
      <c r="AF15" t="s">
        <v>88</v>
      </c>
      <c r="AG15">
        <v>18000</v>
      </c>
    </row>
    <row r="16" spans="1:33" ht="97.8" customHeight="1" x14ac:dyDescent="0.3">
      <c r="A16" s="1" t="s">
        <v>102</v>
      </c>
      <c r="B16" s="1" t="s">
        <v>122</v>
      </c>
      <c r="C16" s="1">
        <v>8767564347</v>
      </c>
      <c r="D16" s="1" t="str">
        <f t="shared" si="0"/>
        <v>maahi@hubnettech.net</v>
      </c>
      <c r="E16" s="3">
        <v>34037</v>
      </c>
      <c r="F16" s="1" t="s">
        <v>16</v>
      </c>
      <c r="G16" s="1" t="s">
        <v>32</v>
      </c>
      <c r="H16" s="1" t="s">
        <v>41</v>
      </c>
      <c r="I16" s="1" t="s">
        <v>67</v>
      </c>
      <c r="J16" s="1" t="str">
        <f t="shared" si="1"/>
        <v>3 Months</v>
      </c>
      <c r="K16" s="1">
        <f t="shared" si="2"/>
        <v>10000</v>
      </c>
      <c r="L16" s="3">
        <v>45290</v>
      </c>
      <c r="M16" s="1"/>
      <c r="AE16" t="s">
        <v>59</v>
      </c>
      <c r="AF16" t="s">
        <v>83</v>
      </c>
      <c r="AG16">
        <v>20000</v>
      </c>
    </row>
    <row r="17" spans="1:33" ht="97.8" customHeight="1" x14ac:dyDescent="0.3">
      <c r="A17" s="1" t="s">
        <v>103</v>
      </c>
      <c r="B17" s="1" t="s">
        <v>123</v>
      </c>
      <c r="C17" s="1">
        <v>9976433257</v>
      </c>
      <c r="D17" s="1" t="str">
        <f t="shared" si="0"/>
        <v>aisha@hubnettech.net</v>
      </c>
      <c r="E17" s="3">
        <v>34383</v>
      </c>
      <c r="F17" s="1" t="s">
        <v>17</v>
      </c>
      <c r="G17" s="1" t="s">
        <v>27</v>
      </c>
      <c r="H17" s="1" t="s">
        <v>41</v>
      </c>
      <c r="I17" s="1" t="s">
        <v>70</v>
      </c>
      <c r="J17" s="1" t="str">
        <f t="shared" si="1"/>
        <v>2 Months</v>
      </c>
      <c r="K17" s="1">
        <f t="shared" si="2"/>
        <v>10000</v>
      </c>
      <c r="L17" s="3">
        <v>45578</v>
      </c>
      <c r="M17" s="1"/>
      <c r="AE17" t="s">
        <v>60</v>
      </c>
      <c r="AF17" t="s">
        <v>84</v>
      </c>
      <c r="AG17">
        <v>18000</v>
      </c>
    </row>
    <row r="18" spans="1:33" ht="97.8" customHeight="1" x14ac:dyDescent="0.3">
      <c r="A18" s="1" t="s">
        <v>104</v>
      </c>
      <c r="B18" s="1" t="s">
        <v>124</v>
      </c>
      <c r="C18" s="1">
        <v>8766755634</v>
      </c>
      <c r="D18" s="1" t="str">
        <f t="shared" si="0"/>
        <v>nisha@hubnettech.net</v>
      </c>
      <c r="E18" s="3">
        <v>33942</v>
      </c>
      <c r="F18" s="1" t="s">
        <v>15</v>
      </c>
      <c r="G18" s="1" t="s">
        <v>23</v>
      </c>
      <c r="H18" s="1" t="s">
        <v>36</v>
      </c>
      <c r="I18" s="1" t="s">
        <v>48</v>
      </c>
      <c r="J18" s="1" t="str">
        <f t="shared" si="1"/>
        <v>6 Months</v>
      </c>
      <c r="K18" s="1">
        <f t="shared" si="2"/>
        <v>6000</v>
      </c>
      <c r="L18" s="3">
        <v>45055</v>
      </c>
      <c r="M18" s="1"/>
      <c r="AE18" t="s">
        <v>61</v>
      </c>
      <c r="AF18" t="s">
        <v>85</v>
      </c>
      <c r="AG18">
        <v>15000</v>
      </c>
    </row>
    <row r="19" spans="1:33" ht="97.8" customHeight="1" x14ac:dyDescent="0.3">
      <c r="A19" s="1" t="s">
        <v>105</v>
      </c>
      <c r="B19" s="1" t="s">
        <v>125</v>
      </c>
      <c r="C19" s="1">
        <v>6756434267</v>
      </c>
      <c r="D19" s="1" t="str">
        <f t="shared" si="0"/>
        <v>nikhil@hubnettech.net</v>
      </c>
      <c r="E19" s="3">
        <v>36415</v>
      </c>
      <c r="F19" s="1" t="s">
        <v>17</v>
      </c>
      <c r="G19" s="1" t="s">
        <v>28</v>
      </c>
      <c r="H19" s="1" t="s">
        <v>43</v>
      </c>
      <c r="I19" s="1" t="s">
        <v>76</v>
      </c>
      <c r="J19" s="1" t="str">
        <f t="shared" si="1"/>
        <v>6 Months</v>
      </c>
      <c r="K19" s="1">
        <f t="shared" si="2"/>
        <v>25000</v>
      </c>
      <c r="L19" s="3">
        <v>45360</v>
      </c>
      <c r="M19" s="1"/>
      <c r="AE19" t="s">
        <v>62</v>
      </c>
      <c r="AF19" t="s">
        <v>87</v>
      </c>
      <c r="AG19">
        <v>15000</v>
      </c>
    </row>
    <row r="20" spans="1:33" ht="97.8" customHeight="1" x14ac:dyDescent="0.3">
      <c r="A20" s="1" t="s">
        <v>106</v>
      </c>
      <c r="B20" s="1" t="s">
        <v>126</v>
      </c>
      <c r="C20" s="1">
        <v>8767565488</v>
      </c>
      <c r="D20" s="1" t="str">
        <f t="shared" si="0"/>
        <v>pratham@hubnettech.net</v>
      </c>
      <c r="E20" s="3">
        <v>37176</v>
      </c>
      <c r="F20" s="1" t="s">
        <v>16</v>
      </c>
      <c r="G20" s="1" t="s">
        <v>34</v>
      </c>
      <c r="H20" s="1" t="s">
        <v>36</v>
      </c>
      <c r="I20" s="1" t="s">
        <v>47</v>
      </c>
      <c r="J20" s="1" t="str">
        <f t="shared" si="1"/>
        <v>6 Months</v>
      </c>
      <c r="K20" s="1">
        <f t="shared" si="2"/>
        <v>8000</v>
      </c>
      <c r="L20" s="3">
        <v>45340</v>
      </c>
      <c r="M20" s="1"/>
      <c r="AE20" t="s">
        <v>63</v>
      </c>
      <c r="AF20" t="s">
        <v>87</v>
      </c>
      <c r="AG20">
        <v>8000</v>
      </c>
    </row>
    <row r="21" spans="1:33" ht="97.8" customHeight="1" x14ac:dyDescent="0.3">
      <c r="A21" s="1" t="s">
        <v>107</v>
      </c>
      <c r="B21" s="1" t="s">
        <v>127</v>
      </c>
      <c r="C21" s="1">
        <v>7564376576</v>
      </c>
      <c r="D21" s="1" t="str">
        <f t="shared" si="0"/>
        <v>ira sharma@hubnettech.net</v>
      </c>
      <c r="E21" s="3">
        <v>37393</v>
      </c>
      <c r="F21" s="1" t="s">
        <v>15</v>
      </c>
      <c r="G21" s="1" t="s">
        <v>22</v>
      </c>
      <c r="H21" s="1" t="s">
        <v>39</v>
      </c>
      <c r="I21" s="1" t="s">
        <v>60</v>
      </c>
      <c r="J21" s="1" t="str">
        <f t="shared" si="1"/>
        <v>6 Months</v>
      </c>
      <c r="K21" s="1">
        <f t="shared" si="2"/>
        <v>18000</v>
      </c>
      <c r="L21" s="3">
        <v>45630</v>
      </c>
      <c r="M21" s="1"/>
      <c r="AE21" t="s">
        <v>64</v>
      </c>
      <c r="AF21" t="s">
        <v>85</v>
      </c>
      <c r="AG21">
        <v>8000</v>
      </c>
    </row>
    <row r="22" spans="1:33" x14ac:dyDescent="0.3">
      <c r="AE22" t="s">
        <v>65</v>
      </c>
      <c r="AF22" t="s">
        <v>88</v>
      </c>
      <c r="AG22">
        <v>15000</v>
      </c>
    </row>
    <row r="23" spans="1:33" x14ac:dyDescent="0.3">
      <c r="AE23" t="s">
        <v>66</v>
      </c>
      <c r="AF23" t="s">
        <v>83</v>
      </c>
      <c r="AG23">
        <v>18000</v>
      </c>
    </row>
    <row r="24" spans="1:33" x14ac:dyDescent="0.3">
      <c r="AE24" t="s">
        <v>67</v>
      </c>
      <c r="AF24" t="s">
        <v>83</v>
      </c>
      <c r="AG24">
        <v>10000</v>
      </c>
    </row>
    <row r="25" spans="1:33" x14ac:dyDescent="0.3">
      <c r="AE25" t="s">
        <v>68</v>
      </c>
      <c r="AF25" t="s">
        <v>88</v>
      </c>
      <c r="AG25">
        <v>12000</v>
      </c>
    </row>
    <row r="26" spans="1:33" x14ac:dyDescent="0.3">
      <c r="AE26" t="s">
        <v>69</v>
      </c>
      <c r="AF26" t="s">
        <v>88</v>
      </c>
      <c r="AG26">
        <v>15000</v>
      </c>
    </row>
    <row r="27" spans="1:33" x14ac:dyDescent="0.3">
      <c r="AE27" t="s">
        <v>70</v>
      </c>
      <c r="AF27" t="s">
        <v>85</v>
      </c>
      <c r="AG27">
        <v>10000</v>
      </c>
    </row>
    <row r="28" spans="1:33" x14ac:dyDescent="0.3">
      <c r="AE28" t="s">
        <v>72</v>
      </c>
      <c r="AF28" t="s">
        <v>88</v>
      </c>
      <c r="AG28">
        <v>12000</v>
      </c>
    </row>
    <row r="29" spans="1:33" x14ac:dyDescent="0.3">
      <c r="AE29" t="s">
        <v>71</v>
      </c>
      <c r="AF29" t="s">
        <v>88</v>
      </c>
      <c r="AG29">
        <v>20000</v>
      </c>
    </row>
    <row r="30" spans="1:33" x14ac:dyDescent="0.3">
      <c r="AE30" t="s">
        <v>73</v>
      </c>
      <c r="AF30" t="s">
        <v>84</v>
      </c>
      <c r="AG30">
        <v>15000</v>
      </c>
    </row>
    <row r="31" spans="1:33" x14ac:dyDescent="0.3">
      <c r="AE31" t="s">
        <v>74</v>
      </c>
      <c r="AF31" t="s">
        <v>86</v>
      </c>
      <c r="AG31">
        <v>12000</v>
      </c>
    </row>
    <row r="32" spans="1:33" x14ac:dyDescent="0.3">
      <c r="AE32" t="s">
        <v>75</v>
      </c>
      <c r="AF32" t="s">
        <v>84</v>
      </c>
      <c r="AG32">
        <v>25000</v>
      </c>
    </row>
    <row r="33" spans="31:33" x14ac:dyDescent="0.3">
      <c r="AE33" t="s">
        <v>76</v>
      </c>
      <c r="AF33" t="s">
        <v>84</v>
      </c>
      <c r="AG33">
        <v>25000</v>
      </c>
    </row>
    <row r="34" spans="31:33" x14ac:dyDescent="0.3">
      <c r="AE34" t="s">
        <v>77</v>
      </c>
      <c r="AF34" t="s">
        <v>84</v>
      </c>
      <c r="AG34">
        <v>20000</v>
      </c>
    </row>
    <row r="35" spans="31:33" x14ac:dyDescent="0.3">
      <c r="AE35" t="s">
        <v>78</v>
      </c>
      <c r="AF35" t="s">
        <v>88</v>
      </c>
      <c r="AG35">
        <v>19000</v>
      </c>
    </row>
    <row r="36" spans="31:33" x14ac:dyDescent="0.3">
      <c r="AE36" t="s">
        <v>79</v>
      </c>
      <c r="AF36" t="s">
        <v>89</v>
      </c>
      <c r="AG36">
        <v>18000</v>
      </c>
    </row>
  </sheetData>
  <dataValidations count="8">
    <dataValidation type="textLength" operator="equal" allowBlank="1" showInputMessage="1" showErrorMessage="1" sqref="C2:C21" xr:uid="{9EAF3234-8FEA-4222-98E3-40103C2D68D5}">
      <formula1>10</formula1>
    </dataValidation>
    <dataValidation type="textLength" operator="greaterThanOrEqual" allowBlank="1" showInputMessage="1" showErrorMessage="1" sqref="B2:B21" xr:uid="{CEE053EC-9BFB-4E53-9538-B69C4113DF7C}">
      <formula1>3</formula1>
    </dataValidation>
    <dataValidation type="date" operator="greaterThan" allowBlank="1" showInputMessage="1" showErrorMessage="1" sqref="E2:E21" xr:uid="{5B89F4CD-BDA6-4D47-BBFC-CCAB38A9B0D8}">
      <formula1>32874</formula1>
    </dataValidation>
    <dataValidation type="list" allowBlank="1" showInputMessage="1" showErrorMessage="1" sqref="F2:F21" xr:uid="{06CA67D3-2374-474D-AE9D-7AB79256D093}">
      <formula1>$Q$2:$S$2</formula1>
    </dataValidation>
    <dataValidation type="list" allowBlank="1" showInputMessage="1" showErrorMessage="1" sqref="G2:G21" xr:uid="{52ACDDDE-3BE7-42D3-819B-C1068DBEEE0F}">
      <formula1>INDIRECT($F2)</formula1>
    </dataValidation>
    <dataValidation type="list" allowBlank="1" showInputMessage="1" showErrorMessage="1" sqref="H2:H21" xr:uid="{B85D4B67-BA97-4ABF-B05A-8A58CCBD282D}">
      <formula1>$T$2:$AC$2</formula1>
    </dataValidation>
    <dataValidation type="list" allowBlank="1" showInputMessage="1" showErrorMessage="1" sqref="I2:I21" xr:uid="{CB808C17-4704-4AEA-A4F9-74E5D73E0029}">
      <formula1>INDIRECT($H2)</formula1>
    </dataValidation>
    <dataValidation type="date" allowBlank="1" showInputMessage="1" showErrorMessage="1" sqref="L2:L21" xr:uid="{26C47074-A22E-4723-958E-3477FE23047C}">
      <formula1>38203</formula1>
      <formula2>TODAY()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82B33-FB7B-4238-810F-0E89228315F9}">
  <dimension ref="C1:J19"/>
  <sheetViews>
    <sheetView showGridLines="0" tabSelected="1" workbookViewId="0">
      <selection activeCell="J5" sqref="J5"/>
    </sheetView>
  </sheetViews>
  <sheetFormatPr defaultRowHeight="14.4" x14ac:dyDescent="0.3"/>
  <cols>
    <col min="1" max="1" width="5.109375" customWidth="1"/>
    <col min="2" max="2" width="0.33203125" customWidth="1"/>
    <col min="3" max="3" width="10.88671875" customWidth="1"/>
    <col min="4" max="4" width="0.5546875" customWidth="1"/>
    <col min="5" max="5" width="17.21875" customWidth="1"/>
    <col min="6" max="6" width="11.88671875" customWidth="1"/>
  </cols>
  <sheetData>
    <row r="1" spans="3:10" x14ac:dyDescent="0.3">
      <c r="C1" s="5"/>
      <c r="D1" s="6"/>
      <c r="E1" s="6"/>
      <c r="F1" s="7"/>
      <c r="H1" s="11"/>
    </row>
    <row r="2" spans="3:10" s="4" customFormat="1" ht="36" customHeight="1" x14ac:dyDescent="0.3">
      <c r="C2" s="13" t="s">
        <v>128</v>
      </c>
      <c r="D2" s="14"/>
      <c r="E2" s="14"/>
      <c r="F2" s="15"/>
    </row>
    <row r="3" spans="3:10" x14ac:dyDescent="0.3">
      <c r="C3" s="8"/>
      <c r="E3" s="16"/>
      <c r="F3" s="9"/>
    </row>
    <row r="4" spans="3:10" x14ac:dyDescent="0.3">
      <c r="C4" s="8"/>
      <c r="E4" s="17"/>
      <c r="F4" s="9"/>
      <c r="J4" t="s">
        <v>136</v>
      </c>
    </row>
    <row r="5" spans="3:10" x14ac:dyDescent="0.3">
      <c r="C5" s="8"/>
      <c r="E5" s="17"/>
      <c r="F5" s="9"/>
      <c r="J5" t="s">
        <v>96</v>
      </c>
    </row>
    <row r="6" spans="3:10" x14ac:dyDescent="0.3">
      <c r="C6" s="8"/>
      <c r="E6" s="17"/>
      <c r="F6" s="9"/>
    </row>
    <row r="7" spans="3:10" x14ac:dyDescent="0.3">
      <c r="C7" s="8"/>
      <c r="E7" s="17"/>
      <c r="F7" s="9"/>
    </row>
    <row r="8" spans="3:10" x14ac:dyDescent="0.3">
      <c r="C8" s="8"/>
      <c r="E8" s="17"/>
      <c r="F8" s="9"/>
    </row>
    <row r="9" spans="3:10" x14ac:dyDescent="0.3">
      <c r="C9" s="8"/>
      <c r="E9" s="18"/>
      <c r="F9" s="9"/>
    </row>
    <row r="10" spans="3:10" ht="21" x14ac:dyDescent="0.3">
      <c r="C10" s="8"/>
      <c r="E10" s="12" t="str">
        <f>J5</f>
        <v>H109</v>
      </c>
      <c r="F10" s="9"/>
    </row>
    <row r="11" spans="3:10" ht="15" x14ac:dyDescent="0.3">
      <c r="C11" s="10" t="s">
        <v>129</v>
      </c>
      <c r="E11" s="19" t="str">
        <f>VLOOKUP(J5,Stu_data!A1:L21,2,FALSE)</f>
        <v>Aman</v>
      </c>
      <c r="F11" s="19"/>
    </row>
    <row r="12" spans="3:10" ht="15" x14ac:dyDescent="0.3">
      <c r="C12" s="10" t="s">
        <v>130</v>
      </c>
      <c r="E12" s="19" t="str">
        <f>VLOOKUP(J5,Stu_data!A1:L21,9,FALSE)</f>
        <v>CEH</v>
      </c>
      <c r="F12" s="19"/>
    </row>
    <row r="13" spans="3:10" ht="15" x14ac:dyDescent="0.3">
      <c r="C13" s="10" t="s">
        <v>131</v>
      </c>
      <c r="E13" s="20">
        <f>VLOOKUP(J5,Stu_data!A1:L21,5,FALSE)</f>
        <v>36077</v>
      </c>
      <c r="F13" s="20"/>
    </row>
    <row r="14" spans="3:10" ht="15" x14ac:dyDescent="0.3">
      <c r="C14" s="10" t="s">
        <v>132</v>
      </c>
      <c r="E14" s="20">
        <f>VLOOKUP($J$5,Stu_data!A2:L22,12,FALSE)</f>
        <v>45381</v>
      </c>
      <c r="F14" s="20"/>
    </row>
    <row r="15" spans="3:10" ht="15" x14ac:dyDescent="0.3">
      <c r="C15" s="10" t="s">
        <v>133</v>
      </c>
      <c r="E15" s="19">
        <f>VLOOKUP(Sheet1!J5,Stu_data!A1:L21,3,FALSE)</f>
        <v>8878999909</v>
      </c>
      <c r="F15" s="19"/>
    </row>
    <row r="16" spans="3:10" ht="15" x14ac:dyDescent="0.3">
      <c r="C16" s="10" t="s">
        <v>134</v>
      </c>
      <c r="E16" s="20" t="str">
        <f>VLOOKUP($J$5,Stu_data!A4:L24,7,FALSE)</f>
        <v>Jamshedpur</v>
      </c>
      <c r="F16" s="20"/>
    </row>
    <row r="17" spans="3:6" ht="15" x14ac:dyDescent="0.3">
      <c r="C17" s="10" t="s">
        <v>135</v>
      </c>
      <c r="E17" s="20" t="str">
        <f>VLOOKUP(J5,Stu_data!A1:L21,6,FALSE)</f>
        <v>Jharkhand</v>
      </c>
      <c r="F17" s="20"/>
    </row>
    <row r="18" spans="3:6" x14ac:dyDescent="0.3">
      <c r="C18" s="21" t="s">
        <v>138</v>
      </c>
      <c r="D18" s="22"/>
      <c r="E18" s="22"/>
      <c r="F18" s="23"/>
    </row>
    <row r="19" spans="3:6" x14ac:dyDescent="0.3">
      <c r="C19" s="24"/>
      <c r="D19" s="25"/>
      <c r="E19" s="25"/>
      <c r="F19" s="26"/>
    </row>
  </sheetData>
  <mergeCells count="10">
    <mergeCell ref="E14:F14"/>
    <mergeCell ref="E15:F15"/>
    <mergeCell ref="E16:F16"/>
    <mergeCell ref="E17:F17"/>
    <mergeCell ref="C18:F19"/>
    <mergeCell ref="C2:F2"/>
    <mergeCell ref="E3:E9"/>
    <mergeCell ref="E11:F11"/>
    <mergeCell ref="E12:F12"/>
    <mergeCell ref="E13:F13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35BFBB-0ABD-4AE2-8975-0B2F0FAC74D0}">
          <x14:formula1>
            <xm:f>Stu_data!$A$2:$A$21</xm:f>
          </x14:formula1>
          <xm:sqref>J5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Stu_data</vt:lpstr>
      <vt:lpstr>Sheet1</vt:lpstr>
      <vt:lpstr>AUTOMATION</vt:lpstr>
      <vt:lpstr>BASIC</vt:lpstr>
      <vt:lpstr>BIGDATA</vt:lpstr>
      <vt:lpstr>Bihar</vt:lpstr>
      <vt:lpstr>CLOUD</vt:lpstr>
      <vt:lpstr>Database</vt:lpstr>
      <vt:lpstr>HARDWARE</vt:lpstr>
      <vt:lpstr>Jharkhand</vt:lpstr>
      <vt:lpstr>NETWORKING</vt:lpstr>
      <vt:lpstr>PROGRAMMING</vt:lpstr>
      <vt:lpstr>SECURITY</vt:lpstr>
      <vt:lpstr>SERVER</vt:lpstr>
      <vt:lpstr>Uttar_Pradesh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priya.261796@outlook.com</dc:creator>
  <cp:lastModifiedBy>gulshan kumar</cp:lastModifiedBy>
  <dcterms:created xsi:type="dcterms:W3CDTF">2024-12-13T08:30:07Z</dcterms:created>
  <dcterms:modified xsi:type="dcterms:W3CDTF">2024-12-24T06:17:04Z</dcterms:modified>
</cp:coreProperties>
</file>